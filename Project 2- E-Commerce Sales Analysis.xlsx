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75" windowWidth="18915" windowHeight="8235" activeTab="4"/>
  </bookViews>
  <sheets>
    <sheet name="Sales Data" sheetId="1" r:id="rId1"/>
    <sheet name="Analysis" sheetId="2" r:id="rId2"/>
    <sheet name="City" sheetId="4" r:id="rId3"/>
    <sheet name="Category" sheetId="5" r:id="rId4"/>
    <sheet name="Product" sheetId="6" r:id="rId5"/>
    <sheet name="Dashboard" sheetId="7" r:id="rId6"/>
  </sheets>
  <definedNames>
    <definedName name="Slicer_Category">#N/A</definedName>
    <definedName name="Slicer_City">#N/A</definedName>
    <definedName name="Slicer_Product">#N/A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7" l="1"/>
  <c r="I4" i="7" l="1"/>
  <c r="G4" i="7"/>
  <c r="E4" i="7"/>
  <c r="A4" i="7"/>
  <c r="D2" i="2" l="1"/>
  <c r="C2" i="2"/>
  <c r="B2" i="2"/>
  <c r="A2" i="2"/>
  <c r="G13" i="2"/>
  <c r="G12" i="2"/>
  <c r="G11" i="2"/>
  <c r="G10" i="2"/>
  <c r="G9" i="2"/>
  <c r="G8" i="2"/>
  <c r="B9" i="2"/>
  <c r="B8" i="2"/>
  <c r="B7" i="2"/>
  <c r="G4" i="2"/>
  <c r="G3" i="2"/>
  <c r="I2" i="1"/>
  <c r="I3" i="1"/>
  <c r="I4" i="1"/>
  <c r="I5" i="1"/>
  <c r="I6" i="1"/>
  <c r="I7" i="1"/>
  <c r="I8" i="1"/>
  <c r="I9" i="1"/>
  <c r="I10" i="1"/>
  <c r="I11" i="1"/>
  <c r="I12" i="1"/>
  <c r="I13" i="1"/>
  <c r="I14" i="1"/>
  <c r="I15" i="1"/>
  <c r="I16" i="1"/>
  <c r="I17" i="1"/>
  <c r="I18" i="1"/>
  <c r="I19" i="1"/>
  <c r="I20" i="1"/>
  <c r="I21" i="1"/>
</calcChain>
</file>

<file path=xl/sharedStrings.xml><?xml version="1.0" encoding="utf-8"?>
<sst xmlns="http://schemas.openxmlformats.org/spreadsheetml/2006/main" count="119" uniqueCount="33">
  <si>
    <t>Order ID</t>
  </si>
  <si>
    <t>Date</t>
  </si>
  <si>
    <t>Product</t>
  </si>
  <si>
    <t>Category</t>
  </si>
  <si>
    <t>City</t>
  </si>
  <si>
    <t>Quantity</t>
  </si>
  <si>
    <t>Sales</t>
  </si>
  <si>
    <t>Profit</t>
  </si>
  <si>
    <t>Laptop</t>
  </si>
  <si>
    <t>Mouse</t>
  </si>
  <si>
    <t>Keyboard</t>
  </si>
  <si>
    <t>Monitor</t>
  </si>
  <si>
    <t>Headphones</t>
  </si>
  <si>
    <t>Printer</t>
  </si>
  <si>
    <t>Electronics</t>
  </si>
  <si>
    <t>Accessories</t>
  </si>
  <si>
    <t>Pune</t>
  </si>
  <si>
    <t>Mumbai</t>
  </si>
  <si>
    <t>Delhi</t>
  </si>
  <si>
    <t>Total Sales</t>
  </si>
  <si>
    <t>Total Profit</t>
  </si>
  <si>
    <t>Profit Margin</t>
  </si>
  <si>
    <t>Quantity Sold</t>
  </si>
  <si>
    <t>Total Quantity</t>
  </si>
  <si>
    <t>Category-wise Sales</t>
  </si>
  <si>
    <t>City-wise Sales</t>
  </si>
  <si>
    <t>Product-wise Sales</t>
  </si>
  <si>
    <t>Total Orders</t>
  </si>
  <si>
    <t>Row Labels</t>
  </si>
  <si>
    <t>Grand Total</t>
  </si>
  <si>
    <t>Sum of Sales</t>
  </si>
  <si>
    <t>Top Product by Sales</t>
  </si>
  <si>
    <t>E-Commerce Sales Analysis Distribution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</si>
</sst>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36"/>
      <color theme="1"/>
      <name val="Calibri"/>
      <family val="2"/>
      <scheme val="minor"/>
    </font>
    <font>
      <sz val="14"/>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4" fontId="0" fillId="0" borderId="0" xfId="0" applyNumberFormat="1"/>
    <xf numFmtId="0" fontId="0" fillId="0" borderId="0" xfId="0" applyAlignment="1"/>
    <xf numFmtId="0" fontId="1" fillId="0" borderId="0" xfId="0" applyFont="1" applyAlignment="1"/>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cellXfs>
  <cellStyles count="1">
    <cellStyle name="Normal" xfId="0" builtinId="0"/>
  </cellStyles>
  <dxfs count="3">
    <dxf>
      <numFmt numFmtId="0" formatCode="General"/>
    </dxf>
    <dxf>
      <numFmt numFmtId="19" formatCode="dd/mm/yyyy"/>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Analysis.xlsx]City!PivotTable1</c:name>
    <c:fmtId val="0"/>
  </c:pivotSource>
  <c:chart>
    <c:title>
      <c:tx>
        <c:rich>
          <a:bodyPr/>
          <a:lstStyle/>
          <a:p>
            <a:pPr>
              <a:defRPr/>
            </a:pPr>
            <a:r>
              <a:rPr lang="en-IN"/>
              <a:t>Sales</a:t>
            </a:r>
            <a:r>
              <a:rPr lang="en-IN" baseline="0"/>
              <a:t> by City</a:t>
            </a:r>
          </a:p>
        </c:rich>
      </c:tx>
      <c:layout/>
      <c:overlay val="0"/>
    </c:title>
    <c:autoTitleDeleted val="0"/>
    <c:pivotFmts>
      <c:pivotFmt>
        <c:idx val="0"/>
        <c:marker>
          <c:symbol val="none"/>
        </c:marker>
      </c:pivotFmt>
    </c:pivotFmts>
    <c:plotArea>
      <c:layout/>
      <c:barChart>
        <c:barDir val="col"/>
        <c:grouping val="clustered"/>
        <c:varyColors val="0"/>
        <c:ser>
          <c:idx val="0"/>
          <c:order val="0"/>
          <c:tx>
            <c:strRef>
              <c:f>City!$B$3</c:f>
              <c:strCache>
                <c:ptCount val="1"/>
                <c:pt idx="0">
                  <c:v>Total</c:v>
                </c:pt>
              </c:strCache>
            </c:strRef>
          </c:tx>
          <c:invertIfNegative val="0"/>
          <c:cat>
            <c:strRef>
              <c:f>City!$A$4:$A$7</c:f>
              <c:strCache>
                <c:ptCount val="3"/>
                <c:pt idx="0">
                  <c:v>Delhi</c:v>
                </c:pt>
                <c:pt idx="1">
                  <c:v>Mumbai</c:v>
                </c:pt>
                <c:pt idx="2">
                  <c:v>Pune</c:v>
                </c:pt>
              </c:strCache>
            </c:strRef>
          </c:cat>
          <c:val>
            <c:numRef>
              <c:f>City!$B$4:$B$7</c:f>
              <c:numCache>
                <c:formatCode>General</c:formatCode>
                <c:ptCount val="3"/>
                <c:pt idx="0">
                  <c:v>106000</c:v>
                </c:pt>
                <c:pt idx="1">
                  <c:v>207000</c:v>
                </c:pt>
                <c:pt idx="2">
                  <c:v>191500</c:v>
                </c:pt>
              </c:numCache>
            </c:numRef>
          </c:val>
        </c:ser>
        <c:dLbls>
          <c:showLegendKey val="0"/>
          <c:showVal val="0"/>
          <c:showCatName val="0"/>
          <c:showSerName val="0"/>
          <c:showPercent val="0"/>
          <c:showBubbleSize val="0"/>
        </c:dLbls>
        <c:gapWidth val="150"/>
        <c:axId val="196240128"/>
        <c:axId val="196241664"/>
      </c:barChart>
      <c:catAx>
        <c:axId val="196240128"/>
        <c:scaling>
          <c:orientation val="minMax"/>
        </c:scaling>
        <c:delete val="0"/>
        <c:axPos val="b"/>
        <c:majorTickMark val="out"/>
        <c:minorTickMark val="none"/>
        <c:tickLblPos val="nextTo"/>
        <c:crossAx val="196241664"/>
        <c:crosses val="autoZero"/>
        <c:auto val="1"/>
        <c:lblAlgn val="ctr"/>
        <c:lblOffset val="100"/>
        <c:noMultiLvlLbl val="0"/>
      </c:catAx>
      <c:valAx>
        <c:axId val="196241664"/>
        <c:scaling>
          <c:orientation val="minMax"/>
        </c:scaling>
        <c:delete val="0"/>
        <c:axPos val="l"/>
        <c:majorGridlines/>
        <c:numFmt formatCode="General" sourceLinked="1"/>
        <c:majorTickMark val="out"/>
        <c:minorTickMark val="none"/>
        <c:tickLblPos val="nextTo"/>
        <c:crossAx val="1962401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Analysis.xlsx]Category!PivotTable2</c:name>
    <c:fmtId val="0"/>
  </c:pivotSource>
  <c:chart>
    <c:title>
      <c:tx>
        <c:rich>
          <a:bodyPr/>
          <a:lstStyle/>
          <a:p>
            <a:pPr>
              <a:defRPr/>
            </a:pPr>
            <a:r>
              <a:rPr lang="en-IN"/>
              <a:t>Sales</a:t>
            </a:r>
            <a:r>
              <a:rPr lang="en-IN" baseline="0"/>
              <a:t> by Category</a:t>
            </a:r>
            <a:endParaRPr lang="en-IN"/>
          </a:p>
        </c:rich>
      </c:tx>
      <c:layout/>
      <c:overlay val="0"/>
    </c:title>
    <c:autoTitleDeleted val="0"/>
    <c:pivotFmts>
      <c:pivotFmt>
        <c:idx val="0"/>
        <c:marker>
          <c:symbol val="none"/>
        </c:marker>
      </c:pivotFmt>
    </c:pivotFmts>
    <c:plotArea>
      <c:layout/>
      <c:barChart>
        <c:barDir val="col"/>
        <c:grouping val="clustered"/>
        <c:varyColors val="0"/>
        <c:ser>
          <c:idx val="0"/>
          <c:order val="0"/>
          <c:tx>
            <c:strRef>
              <c:f>Category!$B$3</c:f>
              <c:strCache>
                <c:ptCount val="1"/>
                <c:pt idx="0">
                  <c:v>Total</c:v>
                </c:pt>
              </c:strCache>
            </c:strRef>
          </c:tx>
          <c:invertIfNegative val="0"/>
          <c:cat>
            <c:strRef>
              <c:f>Category!$A$4:$A$6</c:f>
              <c:strCache>
                <c:ptCount val="2"/>
                <c:pt idx="0">
                  <c:v>Accessories</c:v>
                </c:pt>
                <c:pt idx="1">
                  <c:v>Electronics</c:v>
                </c:pt>
              </c:strCache>
            </c:strRef>
          </c:cat>
          <c:val>
            <c:numRef>
              <c:f>Category!$B$4:$B$6</c:f>
              <c:numCache>
                <c:formatCode>General</c:formatCode>
                <c:ptCount val="2"/>
                <c:pt idx="0">
                  <c:v>79500</c:v>
                </c:pt>
                <c:pt idx="1">
                  <c:v>425000</c:v>
                </c:pt>
              </c:numCache>
            </c:numRef>
          </c:val>
        </c:ser>
        <c:dLbls>
          <c:showLegendKey val="0"/>
          <c:showVal val="0"/>
          <c:showCatName val="0"/>
          <c:showSerName val="0"/>
          <c:showPercent val="0"/>
          <c:showBubbleSize val="0"/>
        </c:dLbls>
        <c:gapWidth val="150"/>
        <c:axId val="196442752"/>
        <c:axId val="197091712"/>
      </c:barChart>
      <c:catAx>
        <c:axId val="196442752"/>
        <c:scaling>
          <c:orientation val="minMax"/>
        </c:scaling>
        <c:delete val="0"/>
        <c:axPos val="b"/>
        <c:majorTickMark val="out"/>
        <c:minorTickMark val="none"/>
        <c:tickLblPos val="nextTo"/>
        <c:crossAx val="197091712"/>
        <c:crosses val="autoZero"/>
        <c:auto val="1"/>
        <c:lblAlgn val="ctr"/>
        <c:lblOffset val="100"/>
        <c:noMultiLvlLbl val="0"/>
      </c:catAx>
      <c:valAx>
        <c:axId val="197091712"/>
        <c:scaling>
          <c:orientation val="minMax"/>
        </c:scaling>
        <c:delete val="0"/>
        <c:axPos val="l"/>
        <c:majorGridlines/>
        <c:numFmt formatCode="General" sourceLinked="1"/>
        <c:majorTickMark val="out"/>
        <c:minorTickMark val="none"/>
        <c:tickLblPos val="nextTo"/>
        <c:crossAx val="1964427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Analysis.xlsx]Product!PivotTable3</c:name>
    <c:fmtId val="1"/>
  </c:pivotSource>
  <c:chart>
    <c:title>
      <c:tx>
        <c:rich>
          <a:bodyPr/>
          <a:lstStyle/>
          <a:p>
            <a:pPr>
              <a:defRPr/>
            </a:pPr>
            <a:r>
              <a:rPr lang="en-IN"/>
              <a:t>Sales</a:t>
            </a:r>
            <a:r>
              <a:rPr lang="en-IN" baseline="0"/>
              <a:t> by Product</a:t>
            </a:r>
            <a:endParaRPr lang="en-IN"/>
          </a:p>
        </c:rich>
      </c:tx>
      <c:layout/>
      <c:overlay val="0"/>
    </c:title>
    <c:autoTitleDeleted val="0"/>
    <c:pivotFmts>
      <c:pivotFmt>
        <c:idx val="0"/>
        <c:marker>
          <c:symbol val="none"/>
        </c:marker>
      </c:pivotFmt>
    </c:pivotFmts>
    <c:plotArea>
      <c:layout/>
      <c:barChart>
        <c:barDir val="bar"/>
        <c:grouping val="clustered"/>
        <c:varyColors val="0"/>
        <c:ser>
          <c:idx val="0"/>
          <c:order val="0"/>
          <c:tx>
            <c:strRef>
              <c:f>Product!$B$3</c:f>
              <c:strCache>
                <c:ptCount val="1"/>
                <c:pt idx="0">
                  <c:v>Total</c:v>
                </c:pt>
              </c:strCache>
            </c:strRef>
          </c:tx>
          <c:invertIfNegative val="0"/>
          <c:cat>
            <c:strRef>
              <c:f>Product!$A$4:$A$10</c:f>
              <c:strCache>
                <c:ptCount val="6"/>
                <c:pt idx="0">
                  <c:v>Headphones</c:v>
                </c:pt>
                <c:pt idx="1">
                  <c:v>Keyboard</c:v>
                </c:pt>
                <c:pt idx="2">
                  <c:v>Laptop</c:v>
                </c:pt>
                <c:pt idx="3">
                  <c:v>Monitor</c:v>
                </c:pt>
                <c:pt idx="4">
                  <c:v>Mouse</c:v>
                </c:pt>
                <c:pt idx="5">
                  <c:v>Printer</c:v>
                </c:pt>
              </c:strCache>
            </c:strRef>
          </c:cat>
          <c:val>
            <c:numRef>
              <c:f>Product!$B$4:$B$10</c:f>
              <c:numCache>
                <c:formatCode>General</c:formatCode>
                <c:ptCount val="6"/>
                <c:pt idx="0">
                  <c:v>30000</c:v>
                </c:pt>
                <c:pt idx="1">
                  <c:v>19500</c:v>
                </c:pt>
                <c:pt idx="2">
                  <c:v>270000</c:v>
                </c:pt>
                <c:pt idx="3">
                  <c:v>105000</c:v>
                </c:pt>
                <c:pt idx="4">
                  <c:v>30000</c:v>
                </c:pt>
                <c:pt idx="5">
                  <c:v>50000</c:v>
                </c:pt>
              </c:numCache>
            </c:numRef>
          </c:val>
        </c:ser>
        <c:dLbls>
          <c:showLegendKey val="0"/>
          <c:showVal val="0"/>
          <c:showCatName val="0"/>
          <c:showSerName val="0"/>
          <c:showPercent val="0"/>
          <c:showBubbleSize val="0"/>
        </c:dLbls>
        <c:gapWidth val="150"/>
        <c:axId val="197075712"/>
        <c:axId val="197077248"/>
      </c:barChart>
      <c:catAx>
        <c:axId val="197075712"/>
        <c:scaling>
          <c:orientation val="minMax"/>
        </c:scaling>
        <c:delete val="0"/>
        <c:axPos val="l"/>
        <c:majorTickMark val="out"/>
        <c:minorTickMark val="none"/>
        <c:tickLblPos val="nextTo"/>
        <c:crossAx val="197077248"/>
        <c:crosses val="autoZero"/>
        <c:auto val="1"/>
        <c:lblAlgn val="ctr"/>
        <c:lblOffset val="100"/>
        <c:noMultiLvlLbl val="0"/>
      </c:catAx>
      <c:valAx>
        <c:axId val="197077248"/>
        <c:scaling>
          <c:orientation val="minMax"/>
        </c:scaling>
        <c:delete val="0"/>
        <c:axPos val="b"/>
        <c:majorGridlines/>
        <c:numFmt formatCode="General" sourceLinked="1"/>
        <c:majorTickMark val="out"/>
        <c:minorTickMark val="none"/>
        <c:tickLblPos val="nextTo"/>
        <c:crossAx val="1970757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Analysis.xlsx]City!PivotTable1</c:name>
    <c:fmtId val="2"/>
  </c:pivotSource>
  <c:chart>
    <c:title>
      <c:tx>
        <c:rich>
          <a:bodyPr/>
          <a:lstStyle/>
          <a:p>
            <a:pPr>
              <a:defRPr/>
            </a:pPr>
            <a:r>
              <a:rPr lang="en-IN"/>
              <a:t>Sales</a:t>
            </a:r>
            <a:r>
              <a:rPr lang="en-IN" baseline="0"/>
              <a:t> by City</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City!$B$3</c:f>
              <c:strCache>
                <c:ptCount val="1"/>
                <c:pt idx="0">
                  <c:v>Total</c:v>
                </c:pt>
              </c:strCache>
            </c:strRef>
          </c:tx>
          <c:invertIfNegative val="0"/>
          <c:cat>
            <c:strRef>
              <c:f>City!$A$4:$A$7</c:f>
              <c:strCache>
                <c:ptCount val="3"/>
                <c:pt idx="0">
                  <c:v>Delhi</c:v>
                </c:pt>
                <c:pt idx="1">
                  <c:v>Mumbai</c:v>
                </c:pt>
                <c:pt idx="2">
                  <c:v>Pune</c:v>
                </c:pt>
              </c:strCache>
            </c:strRef>
          </c:cat>
          <c:val>
            <c:numRef>
              <c:f>City!$B$4:$B$7</c:f>
              <c:numCache>
                <c:formatCode>General</c:formatCode>
                <c:ptCount val="3"/>
                <c:pt idx="0">
                  <c:v>106000</c:v>
                </c:pt>
                <c:pt idx="1">
                  <c:v>207000</c:v>
                </c:pt>
                <c:pt idx="2">
                  <c:v>191500</c:v>
                </c:pt>
              </c:numCache>
            </c:numRef>
          </c:val>
        </c:ser>
        <c:dLbls>
          <c:showLegendKey val="0"/>
          <c:showVal val="0"/>
          <c:showCatName val="0"/>
          <c:showSerName val="0"/>
          <c:showPercent val="0"/>
          <c:showBubbleSize val="0"/>
        </c:dLbls>
        <c:gapWidth val="150"/>
        <c:axId val="196995712"/>
        <c:axId val="197001600"/>
      </c:barChart>
      <c:catAx>
        <c:axId val="196995712"/>
        <c:scaling>
          <c:orientation val="minMax"/>
        </c:scaling>
        <c:delete val="0"/>
        <c:axPos val="b"/>
        <c:majorTickMark val="out"/>
        <c:minorTickMark val="none"/>
        <c:tickLblPos val="nextTo"/>
        <c:crossAx val="197001600"/>
        <c:crosses val="autoZero"/>
        <c:auto val="1"/>
        <c:lblAlgn val="ctr"/>
        <c:lblOffset val="100"/>
        <c:noMultiLvlLbl val="0"/>
      </c:catAx>
      <c:valAx>
        <c:axId val="197001600"/>
        <c:scaling>
          <c:orientation val="minMax"/>
        </c:scaling>
        <c:delete val="0"/>
        <c:axPos val="l"/>
        <c:majorGridlines/>
        <c:numFmt formatCode="General" sourceLinked="1"/>
        <c:majorTickMark val="out"/>
        <c:minorTickMark val="none"/>
        <c:tickLblPos val="nextTo"/>
        <c:crossAx val="1969957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Analysis.xlsx]Category!PivotTable2</c:name>
    <c:fmtId val="4"/>
  </c:pivotSource>
  <c:chart>
    <c:title>
      <c:tx>
        <c:rich>
          <a:bodyPr/>
          <a:lstStyle/>
          <a:p>
            <a:pPr>
              <a:defRPr/>
            </a:pPr>
            <a:r>
              <a:rPr lang="en-IN"/>
              <a:t>Sales</a:t>
            </a:r>
            <a:r>
              <a:rPr lang="en-IN" baseline="0"/>
              <a:t> by Category</a:t>
            </a:r>
            <a:endParaRPr lang="en-IN"/>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Category!$B$3</c:f>
              <c:strCache>
                <c:ptCount val="1"/>
                <c:pt idx="0">
                  <c:v>Total</c:v>
                </c:pt>
              </c:strCache>
            </c:strRef>
          </c:tx>
          <c:invertIfNegative val="0"/>
          <c:cat>
            <c:strRef>
              <c:f>Category!$A$4:$A$6</c:f>
              <c:strCache>
                <c:ptCount val="2"/>
                <c:pt idx="0">
                  <c:v>Accessories</c:v>
                </c:pt>
                <c:pt idx="1">
                  <c:v>Electronics</c:v>
                </c:pt>
              </c:strCache>
            </c:strRef>
          </c:cat>
          <c:val>
            <c:numRef>
              <c:f>Category!$B$4:$B$6</c:f>
              <c:numCache>
                <c:formatCode>General</c:formatCode>
                <c:ptCount val="2"/>
                <c:pt idx="0">
                  <c:v>79500</c:v>
                </c:pt>
                <c:pt idx="1">
                  <c:v>425000</c:v>
                </c:pt>
              </c:numCache>
            </c:numRef>
          </c:val>
        </c:ser>
        <c:dLbls>
          <c:showLegendKey val="0"/>
          <c:showVal val="0"/>
          <c:showCatName val="0"/>
          <c:showSerName val="0"/>
          <c:showPercent val="0"/>
          <c:showBubbleSize val="0"/>
        </c:dLbls>
        <c:gapWidth val="150"/>
        <c:axId val="197034368"/>
        <c:axId val="197035904"/>
      </c:barChart>
      <c:catAx>
        <c:axId val="197034368"/>
        <c:scaling>
          <c:orientation val="minMax"/>
        </c:scaling>
        <c:delete val="0"/>
        <c:axPos val="b"/>
        <c:majorTickMark val="out"/>
        <c:minorTickMark val="none"/>
        <c:tickLblPos val="nextTo"/>
        <c:crossAx val="197035904"/>
        <c:crosses val="autoZero"/>
        <c:auto val="1"/>
        <c:lblAlgn val="ctr"/>
        <c:lblOffset val="100"/>
        <c:noMultiLvlLbl val="0"/>
      </c:catAx>
      <c:valAx>
        <c:axId val="197035904"/>
        <c:scaling>
          <c:orientation val="minMax"/>
        </c:scaling>
        <c:delete val="0"/>
        <c:axPos val="l"/>
        <c:majorGridlines/>
        <c:numFmt formatCode="General" sourceLinked="1"/>
        <c:majorTickMark val="out"/>
        <c:minorTickMark val="none"/>
        <c:tickLblPos val="nextTo"/>
        <c:crossAx val="1970343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Analysis.xlsx]Product!PivotTable3</c:name>
    <c:fmtId val="4"/>
  </c:pivotSource>
  <c:chart>
    <c:title>
      <c:tx>
        <c:rich>
          <a:bodyPr/>
          <a:lstStyle/>
          <a:p>
            <a:pPr>
              <a:defRPr/>
            </a:pPr>
            <a:r>
              <a:rPr lang="en-IN"/>
              <a:t>Sales</a:t>
            </a:r>
            <a:r>
              <a:rPr lang="en-IN" baseline="0"/>
              <a:t> by Product</a:t>
            </a:r>
            <a:endParaRPr lang="en-IN"/>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Product!$B$3</c:f>
              <c:strCache>
                <c:ptCount val="1"/>
                <c:pt idx="0">
                  <c:v>Total</c:v>
                </c:pt>
              </c:strCache>
            </c:strRef>
          </c:tx>
          <c:invertIfNegative val="0"/>
          <c:cat>
            <c:strRef>
              <c:f>Product!$A$4:$A$10</c:f>
              <c:strCache>
                <c:ptCount val="6"/>
                <c:pt idx="0">
                  <c:v>Headphones</c:v>
                </c:pt>
                <c:pt idx="1">
                  <c:v>Keyboard</c:v>
                </c:pt>
                <c:pt idx="2">
                  <c:v>Laptop</c:v>
                </c:pt>
                <c:pt idx="3">
                  <c:v>Monitor</c:v>
                </c:pt>
                <c:pt idx="4">
                  <c:v>Mouse</c:v>
                </c:pt>
                <c:pt idx="5">
                  <c:v>Printer</c:v>
                </c:pt>
              </c:strCache>
            </c:strRef>
          </c:cat>
          <c:val>
            <c:numRef>
              <c:f>Product!$B$4:$B$10</c:f>
              <c:numCache>
                <c:formatCode>General</c:formatCode>
                <c:ptCount val="6"/>
                <c:pt idx="0">
                  <c:v>30000</c:v>
                </c:pt>
                <c:pt idx="1">
                  <c:v>19500</c:v>
                </c:pt>
                <c:pt idx="2">
                  <c:v>270000</c:v>
                </c:pt>
                <c:pt idx="3">
                  <c:v>105000</c:v>
                </c:pt>
                <c:pt idx="4">
                  <c:v>30000</c:v>
                </c:pt>
                <c:pt idx="5">
                  <c:v>50000</c:v>
                </c:pt>
              </c:numCache>
            </c:numRef>
          </c:val>
        </c:ser>
        <c:dLbls>
          <c:showLegendKey val="0"/>
          <c:showVal val="0"/>
          <c:showCatName val="0"/>
          <c:showSerName val="0"/>
          <c:showPercent val="0"/>
          <c:showBubbleSize val="0"/>
        </c:dLbls>
        <c:gapWidth val="150"/>
        <c:axId val="197049728"/>
        <c:axId val="197133440"/>
      </c:barChart>
      <c:catAx>
        <c:axId val="197049728"/>
        <c:scaling>
          <c:orientation val="minMax"/>
        </c:scaling>
        <c:delete val="0"/>
        <c:axPos val="l"/>
        <c:majorTickMark val="out"/>
        <c:minorTickMark val="none"/>
        <c:tickLblPos val="nextTo"/>
        <c:crossAx val="197133440"/>
        <c:crosses val="autoZero"/>
        <c:auto val="1"/>
        <c:lblAlgn val="ctr"/>
        <c:lblOffset val="100"/>
        <c:noMultiLvlLbl val="0"/>
      </c:catAx>
      <c:valAx>
        <c:axId val="197133440"/>
        <c:scaling>
          <c:orientation val="minMax"/>
        </c:scaling>
        <c:delete val="0"/>
        <c:axPos val="b"/>
        <c:majorGridlines/>
        <c:numFmt formatCode="General" sourceLinked="1"/>
        <c:majorTickMark val="out"/>
        <c:minorTickMark val="none"/>
        <c:tickLblPos val="nextTo"/>
        <c:crossAx val="1970497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38100</xdr:colOff>
      <xdr:row>1</xdr:row>
      <xdr:rowOff>185737</xdr:rowOff>
    </xdr:from>
    <xdr:to>
      <xdr:col>10</xdr:col>
      <xdr:colOff>342900</xdr:colOff>
      <xdr:row>16</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1</xdr:row>
      <xdr:rowOff>166687</xdr:rowOff>
    </xdr:from>
    <xdr:to>
      <xdr:col>10</xdr:col>
      <xdr:colOff>352425</xdr:colOff>
      <xdr:row>16</xdr:row>
      <xdr:rowOff>52387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47625</xdr:colOff>
      <xdr:row>2</xdr:row>
      <xdr:rowOff>33337</xdr:rowOff>
    </xdr:from>
    <xdr:to>
      <xdr:col>10</xdr:col>
      <xdr:colOff>352425</xdr:colOff>
      <xdr:row>16</xdr:row>
      <xdr:rowOff>109537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5</xdr:row>
      <xdr:rowOff>19050</xdr:rowOff>
    </xdr:from>
    <xdr:to>
      <xdr:col>3</xdr:col>
      <xdr:colOff>9526</xdr:colOff>
      <xdr:row>17</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xdr:row>
      <xdr:rowOff>0</xdr:rowOff>
    </xdr:from>
    <xdr:to>
      <xdr:col>7</xdr:col>
      <xdr:colOff>238125</xdr:colOff>
      <xdr:row>19</xdr:row>
      <xdr:rowOff>66675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89647</xdr:colOff>
      <xdr:row>5</xdr:row>
      <xdr:rowOff>78441</xdr:rowOff>
    </xdr:from>
    <xdr:to>
      <xdr:col>14</xdr:col>
      <xdr:colOff>539563</xdr:colOff>
      <xdr:row>17</xdr:row>
      <xdr:rowOff>68916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308161</xdr:colOff>
      <xdr:row>20</xdr:row>
      <xdr:rowOff>91889</xdr:rowOff>
    </xdr:from>
    <xdr:to>
      <xdr:col>2</xdr:col>
      <xdr:colOff>504264</xdr:colOff>
      <xdr:row>26</xdr:row>
      <xdr:rowOff>177614</xdr:rowOff>
    </xdr:to>
    <mc:AlternateContent xmlns:mc="http://schemas.openxmlformats.org/markup-compatibility/2006">
      <mc:Choice xmlns:a14="http://schemas.microsoft.com/office/drawing/2010/main" Requires="a14">
        <xdr:graphicFrame macro="">
          <xdr:nvGraphicFramePr>
            <xdr:cNvPr id="5"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08161" y="4432568"/>
              <a:ext cx="1815353"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954741</xdr:colOff>
      <xdr:row>22</xdr:row>
      <xdr:rowOff>52108</xdr:rowOff>
    </xdr:from>
    <xdr:to>
      <xdr:col>6</xdr:col>
      <xdr:colOff>1016374</xdr:colOff>
      <xdr:row>27</xdr:row>
      <xdr:rowOff>14008</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34062" y="4773787"/>
              <a:ext cx="1816955"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1305485</xdr:colOff>
      <xdr:row>20</xdr:row>
      <xdr:rowOff>48187</xdr:rowOff>
    </xdr:from>
    <xdr:to>
      <xdr:col>10</xdr:col>
      <xdr:colOff>571500</xdr:colOff>
      <xdr:row>31</xdr:row>
      <xdr:rowOff>145677</xdr:rowOff>
    </xdr:to>
    <mc:AlternateContent xmlns:mc="http://schemas.openxmlformats.org/markup-compatibility/2006">
      <mc:Choice xmlns:a14="http://schemas.microsoft.com/office/drawing/2010/main" Requires="a14">
        <xdr:graphicFrame macro="">
          <xdr:nvGraphicFramePr>
            <xdr:cNvPr id="7"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85949" y="4388866"/>
              <a:ext cx="1796944" cy="219299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69.865370370368" createdVersion="4" refreshedVersion="4" minRefreshableVersion="3" recordCount="20">
  <cacheSource type="worksheet">
    <worksheetSource name="Table2"/>
  </cacheSource>
  <cacheFields count="9">
    <cacheField name="Order ID" numFmtId="0">
      <sharedItems containsSemiMixedTypes="0" containsString="0" containsNumber="1" containsInteger="1" minValue="1001" maxValue="1020"/>
    </cacheField>
    <cacheField name="Date" numFmtId="14">
      <sharedItems containsSemiMixedTypes="0" containsNonDate="0" containsDate="1" containsString="0" minDate="2026-01-01T00:00:00" maxDate="2026-03-29T00:00:00"/>
    </cacheField>
    <cacheField name="Product" numFmtId="0">
      <sharedItems count="6">
        <s v="Laptop"/>
        <s v="Mouse"/>
        <s v="Keyboard"/>
        <s v="Monitor"/>
        <s v="Headphones"/>
        <s v="Printer"/>
      </sharedItems>
    </cacheField>
    <cacheField name="Category" numFmtId="0">
      <sharedItems count="2">
        <s v="Electronics"/>
        <s v="Accessories"/>
      </sharedItems>
    </cacheField>
    <cacheField name="City" numFmtId="0">
      <sharedItems count="3">
        <s v="Pune"/>
        <s v="Mumbai"/>
        <s v="Delhi"/>
      </sharedItems>
    </cacheField>
    <cacheField name="Quantity" numFmtId="0">
      <sharedItems containsSemiMixedTypes="0" containsString="0" containsNumber="1" containsInteger="1" minValue="1" maxValue="10"/>
    </cacheField>
    <cacheField name="Sales" numFmtId="0">
      <sharedItems containsSemiMixedTypes="0" containsString="0" containsNumber="1" containsInteger="1" minValue="4500" maxValue="90000"/>
    </cacheField>
    <cacheField name="Profit" numFmtId="0">
      <sharedItems containsSemiMixedTypes="0" containsString="0" containsNumber="1" containsInteger="1" minValue="1200" maxValue="12000"/>
    </cacheField>
    <cacheField name="Profit Margin" numFmtId="0">
      <sharedItems containsSemiMixedTypes="0" containsString="0" containsNumber="1" minValue="13.333333333333334" maxValue="3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n v="1001"/>
    <d v="2026-01-01T00:00:00"/>
    <x v="0"/>
    <x v="0"/>
    <x v="0"/>
    <n v="2"/>
    <n v="90000"/>
    <n v="12000"/>
    <n v="13.333333333333334"/>
  </r>
  <r>
    <n v="1002"/>
    <d v="2026-01-03T00:00:00"/>
    <x v="1"/>
    <x v="1"/>
    <x v="1"/>
    <n v="5"/>
    <n v="5000"/>
    <n v="1500"/>
    <n v="30"/>
  </r>
  <r>
    <n v="1003"/>
    <d v="2026-01-05T00:00:00"/>
    <x v="2"/>
    <x v="1"/>
    <x v="0"/>
    <n v="3"/>
    <n v="4500"/>
    <n v="1200"/>
    <n v="26.666666666666668"/>
  </r>
  <r>
    <n v="1004"/>
    <d v="2026-01-08T00:00:00"/>
    <x v="3"/>
    <x v="0"/>
    <x v="2"/>
    <n v="2"/>
    <n v="30000"/>
    <n v="5000"/>
    <n v="16.666666666666664"/>
  </r>
  <r>
    <n v="1005"/>
    <d v="2026-01-12T00:00:00"/>
    <x v="0"/>
    <x v="0"/>
    <x v="1"/>
    <n v="1"/>
    <n v="45000"/>
    <n v="6000"/>
    <n v="13.333333333333334"/>
  </r>
  <r>
    <n v="1006"/>
    <d v="2026-01-15T00:00:00"/>
    <x v="4"/>
    <x v="1"/>
    <x v="0"/>
    <n v="4"/>
    <n v="8000"/>
    <n v="2400"/>
    <n v="30"/>
  </r>
  <r>
    <n v="1007"/>
    <d v="2026-01-20T00:00:00"/>
    <x v="5"/>
    <x v="0"/>
    <x v="2"/>
    <n v="2"/>
    <n v="20000"/>
    <n v="3500"/>
    <n v="17.5"/>
  </r>
  <r>
    <n v="1008"/>
    <d v="2026-01-25T00:00:00"/>
    <x v="1"/>
    <x v="1"/>
    <x v="1"/>
    <n v="10"/>
    <n v="10000"/>
    <n v="3000"/>
    <n v="30"/>
  </r>
  <r>
    <n v="1009"/>
    <d v="2026-02-02T00:00:00"/>
    <x v="0"/>
    <x v="0"/>
    <x v="0"/>
    <n v="1"/>
    <n v="45000"/>
    <n v="6000"/>
    <n v="13.333333333333334"/>
  </r>
  <r>
    <n v="1010"/>
    <d v="2026-02-05T00:00:00"/>
    <x v="2"/>
    <x v="1"/>
    <x v="2"/>
    <n v="6"/>
    <n v="9000"/>
    <n v="2400"/>
    <n v="26.666666666666668"/>
  </r>
  <r>
    <n v="1011"/>
    <d v="2026-02-10T00:00:00"/>
    <x v="3"/>
    <x v="0"/>
    <x v="1"/>
    <n v="3"/>
    <n v="45000"/>
    <n v="7500"/>
    <n v="16.666666666666664"/>
  </r>
  <r>
    <n v="1012"/>
    <d v="2026-02-15T00:00:00"/>
    <x v="4"/>
    <x v="1"/>
    <x v="0"/>
    <n v="5"/>
    <n v="10000"/>
    <n v="3000"/>
    <n v="30"/>
  </r>
  <r>
    <n v="1013"/>
    <d v="2026-02-20T00:00:00"/>
    <x v="5"/>
    <x v="0"/>
    <x v="2"/>
    <n v="1"/>
    <n v="10000"/>
    <n v="1800"/>
    <n v="18"/>
  </r>
  <r>
    <n v="1014"/>
    <d v="2026-02-25T00:00:00"/>
    <x v="1"/>
    <x v="1"/>
    <x v="0"/>
    <n v="8"/>
    <n v="8000"/>
    <n v="2400"/>
    <n v="30"/>
  </r>
  <r>
    <n v="1015"/>
    <d v="2026-03-03T00:00:00"/>
    <x v="0"/>
    <x v="0"/>
    <x v="1"/>
    <n v="2"/>
    <n v="90000"/>
    <n v="12000"/>
    <n v="13.333333333333334"/>
  </r>
  <r>
    <n v="1016"/>
    <d v="2026-03-08T00:00:00"/>
    <x v="2"/>
    <x v="1"/>
    <x v="0"/>
    <n v="4"/>
    <n v="6000"/>
    <n v="1600"/>
    <n v="26.666666666666668"/>
  </r>
  <r>
    <n v="1017"/>
    <d v="2026-03-12T00:00:00"/>
    <x v="3"/>
    <x v="0"/>
    <x v="2"/>
    <n v="2"/>
    <n v="30000"/>
    <n v="5000"/>
    <n v="16.666666666666664"/>
  </r>
  <r>
    <n v="1018"/>
    <d v="2026-03-18T00:00:00"/>
    <x v="4"/>
    <x v="1"/>
    <x v="1"/>
    <n v="6"/>
    <n v="12000"/>
    <n v="3600"/>
    <n v="30"/>
  </r>
  <r>
    <n v="1019"/>
    <d v="2026-03-22T00:00:00"/>
    <x v="5"/>
    <x v="0"/>
    <x v="0"/>
    <n v="2"/>
    <n v="20000"/>
    <n v="3500"/>
    <n v="17.5"/>
  </r>
  <r>
    <n v="1020"/>
    <d v="2026-03-28T00:00:00"/>
    <x v="1"/>
    <x v="1"/>
    <x v="2"/>
    <n v="7"/>
    <n v="7000"/>
    <n v="210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7" firstHeaderRow="1" firstDataRow="1" firstDataCol="1"/>
  <pivotFields count="9">
    <pivotField showAll="0"/>
    <pivotField numFmtId="14" showAll="0"/>
    <pivotField showAll="0"/>
    <pivotField showAll="0"/>
    <pivotField axis="axisRow" showAll="0">
      <items count="4">
        <item x="2"/>
        <item x="1"/>
        <item x="0"/>
        <item t="default"/>
      </items>
    </pivotField>
    <pivotField showAll="0"/>
    <pivotField dataField="1" showAll="0"/>
    <pivotField showAll="0"/>
    <pivotField showAll="0"/>
  </pivotFields>
  <rowFields count="1">
    <field x="4"/>
  </rowFields>
  <rowItems count="4">
    <i>
      <x/>
    </i>
    <i>
      <x v="1"/>
    </i>
    <i>
      <x v="2"/>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6" firstHeaderRow="1" firstDataRow="1" firstDataCol="1"/>
  <pivotFields count="9">
    <pivotField showAll="0"/>
    <pivotField numFmtId="14" showAll="0"/>
    <pivotField showAll="0">
      <items count="7">
        <item x="4"/>
        <item x="2"/>
        <item x="0"/>
        <item x="3"/>
        <item x="1"/>
        <item x="5"/>
        <item t="default"/>
      </items>
    </pivotField>
    <pivotField axis="axisRow" showAll="0">
      <items count="3">
        <item x="1"/>
        <item x="0"/>
        <item t="default"/>
      </items>
    </pivotField>
    <pivotField showAll="0">
      <items count="4">
        <item x="2"/>
        <item x="1"/>
        <item x="0"/>
        <item t="default"/>
      </items>
    </pivotField>
    <pivotField showAll="0"/>
    <pivotField dataField="1" showAll="0"/>
    <pivotField showAll="0"/>
    <pivotField showAll="0"/>
  </pivotFields>
  <rowFields count="1">
    <field x="3"/>
  </rowFields>
  <rowItems count="3">
    <i>
      <x/>
    </i>
    <i>
      <x v="1"/>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10" firstHeaderRow="1" firstDataRow="1" firstDataCol="1"/>
  <pivotFields count="9">
    <pivotField showAll="0"/>
    <pivotField numFmtId="14" showAll="0"/>
    <pivotField axis="axisRow" showAll="0">
      <items count="7">
        <item x="4"/>
        <item x="2"/>
        <item x="0"/>
        <item x="3"/>
        <item x="1"/>
        <item x="5"/>
        <item t="default"/>
      </items>
    </pivotField>
    <pivotField showAll="0"/>
    <pivotField showAll="0">
      <items count="4">
        <item x="2"/>
        <item x="1"/>
        <item x="0"/>
        <item t="default"/>
      </items>
    </pivotField>
    <pivotField showAll="0"/>
    <pivotField dataField="1" showAll="0"/>
    <pivotField showAll="0"/>
    <pivotField showAll="0"/>
  </pivotFields>
  <rowFields count="1">
    <field x="2"/>
  </rowFields>
  <rowItems count="7">
    <i>
      <x/>
    </i>
    <i>
      <x v="1"/>
    </i>
    <i>
      <x v="2"/>
    </i>
    <i>
      <x v="3"/>
    </i>
    <i>
      <x v="4"/>
    </i>
    <i>
      <x v="5"/>
    </i>
    <i t="grand">
      <x/>
    </i>
  </rowItems>
  <colItems count="1">
    <i/>
  </colItems>
  <dataFields count="1">
    <dataField name="Sum of Sales" fld="6"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5" name="PivotTable2"/>
    <pivotTable tabId="4" name="PivotTable1"/>
    <pivotTable tabId="6" name="PivotTable3"/>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2"/>
  </pivotTables>
  <data>
    <tabular pivotCacheId="1">
      <items count="6">
        <i x="4" s="1"/>
        <i x="2" s="1"/>
        <i x="0"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Category" cache="Slicer_Category" caption="Category" rowHeight="241300"/>
  <slicer name="Product" cache="Slicer_Product" caption="Product" rowHeight="241300"/>
</slicers>
</file>

<file path=xl/tables/table1.xml><?xml version="1.0" encoding="utf-8"?>
<table xmlns="http://schemas.openxmlformats.org/spreadsheetml/2006/main" id="2" name="Table2" displayName="Table2" ref="A1:I21" totalsRowShown="0" headerRowDxfId="2">
  <autoFilter ref="A1:I21"/>
  <tableColumns count="9">
    <tableColumn id="1" name="Order ID"/>
    <tableColumn id="2" name="Date" dataDxfId="1"/>
    <tableColumn id="3" name="Product"/>
    <tableColumn id="4" name="Category"/>
    <tableColumn id="5" name="City"/>
    <tableColumn id="6" name="Quantity"/>
    <tableColumn id="7" name="Sales"/>
    <tableColumn id="8" name="Profit"/>
    <tableColumn id="9" name="Profit Margin" dataDxfId="0">
      <calculatedColumnFormula>H2/G2*100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zoomScaleNormal="100" workbookViewId="0">
      <selection activeCell="B25" sqref="B25"/>
    </sheetView>
  </sheetViews>
  <sheetFormatPr defaultRowHeight="15" x14ac:dyDescent="0.25"/>
  <cols>
    <col min="1" max="1" width="12.85546875" bestFit="1" customWidth="1"/>
    <col min="2" max="2" width="12.28515625" customWidth="1"/>
    <col min="3" max="3" width="12.140625" bestFit="1" customWidth="1"/>
    <col min="4" max="4" width="11.28515625" bestFit="1" customWidth="1"/>
    <col min="6" max="6" width="11" bestFit="1" customWidth="1"/>
    <col min="7" max="7" width="7.85546875" bestFit="1" customWidth="1"/>
    <col min="8" max="8" width="8.28515625" bestFit="1" customWidth="1"/>
    <col min="9" max="9" width="15" bestFit="1" customWidth="1"/>
    <col min="10" max="10" width="23" bestFit="1" customWidth="1"/>
  </cols>
  <sheetData>
    <row r="1" spans="1:9" x14ac:dyDescent="0.25">
      <c r="A1" s="1" t="s">
        <v>0</v>
      </c>
      <c r="B1" s="1" t="s">
        <v>1</v>
      </c>
      <c r="C1" s="1" t="s">
        <v>2</v>
      </c>
      <c r="D1" s="1" t="s">
        <v>3</v>
      </c>
      <c r="E1" s="1" t="s">
        <v>4</v>
      </c>
      <c r="F1" s="1" t="s">
        <v>5</v>
      </c>
      <c r="G1" s="1" t="s">
        <v>6</v>
      </c>
      <c r="H1" s="1" t="s">
        <v>7</v>
      </c>
      <c r="I1" s="1" t="s">
        <v>21</v>
      </c>
    </row>
    <row r="2" spans="1:9" x14ac:dyDescent="0.25">
      <c r="A2">
        <v>1001</v>
      </c>
      <c r="B2" s="2">
        <v>46023</v>
      </c>
      <c r="C2" t="s">
        <v>8</v>
      </c>
      <c r="D2" t="s">
        <v>14</v>
      </c>
      <c r="E2" t="s">
        <v>16</v>
      </c>
      <c r="F2">
        <v>2</v>
      </c>
      <c r="G2">
        <v>90000</v>
      </c>
      <c r="H2">
        <v>12000</v>
      </c>
      <c r="I2">
        <f t="shared" ref="I2:I21" si="0">H2/G2*100</f>
        <v>13.333333333333334</v>
      </c>
    </row>
    <row r="3" spans="1:9" x14ac:dyDescent="0.25">
      <c r="A3">
        <v>1002</v>
      </c>
      <c r="B3" s="2">
        <v>46025</v>
      </c>
      <c r="C3" t="s">
        <v>9</v>
      </c>
      <c r="D3" t="s">
        <v>15</v>
      </c>
      <c r="E3" t="s">
        <v>17</v>
      </c>
      <c r="F3">
        <v>5</v>
      </c>
      <c r="G3">
        <v>5000</v>
      </c>
      <c r="H3">
        <v>1500</v>
      </c>
      <c r="I3">
        <f t="shared" si="0"/>
        <v>30</v>
      </c>
    </row>
    <row r="4" spans="1:9" x14ac:dyDescent="0.25">
      <c r="A4">
        <v>1003</v>
      </c>
      <c r="B4" s="2">
        <v>46027</v>
      </c>
      <c r="C4" t="s">
        <v>10</v>
      </c>
      <c r="D4" t="s">
        <v>15</v>
      </c>
      <c r="E4" t="s">
        <v>16</v>
      </c>
      <c r="F4">
        <v>3</v>
      </c>
      <c r="G4">
        <v>4500</v>
      </c>
      <c r="H4">
        <v>1200</v>
      </c>
      <c r="I4">
        <f t="shared" si="0"/>
        <v>26.666666666666668</v>
      </c>
    </row>
    <row r="5" spans="1:9" x14ac:dyDescent="0.25">
      <c r="A5">
        <v>1004</v>
      </c>
      <c r="B5" s="2">
        <v>46030</v>
      </c>
      <c r="C5" t="s">
        <v>11</v>
      </c>
      <c r="D5" t="s">
        <v>14</v>
      </c>
      <c r="E5" t="s">
        <v>18</v>
      </c>
      <c r="F5">
        <v>2</v>
      </c>
      <c r="G5">
        <v>30000</v>
      </c>
      <c r="H5">
        <v>5000</v>
      </c>
      <c r="I5">
        <f t="shared" si="0"/>
        <v>16.666666666666664</v>
      </c>
    </row>
    <row r="6" spans="1:9" x14ac:dyDescent="0.25">
      <c r="A6">
        <v>1005</v>
      </c>
      <c r="B6" s="2">
        <v>46034</v>
      </c>
      <c r="C6" t="s">
        <v>8</v>
      </c>
      <c r="D6" t="s">
        <v>14</v>
      </c>
      <c r="E6" t="s">
        <v>17</v>
      </c>
      <c r="F6">
        <v>1</v>
      </c>
      <c r="G6">
        <v>45000</v>
      </c>
      <c r="H6">
        <v>6000</v>
      </c>
      <c r="I6">
        <f t="shared" si="0"/>
        <v>13.333333333333334</v>
      </c>
    </row>
    <row r="7" spans="1:9" x14ac:dyDescent="0.25">
      <c r="A7">
        <v>1006</v>
      </c>
      <c r="B7" s="2">
        <v>46037</v>
      </c>
      <c r="C7" t="s">
        <v>12</v>
      </c>
      <c r="D7" t="s">
        <v>15</v>
      </c>
      <c r="E7" t="s">
        <v>16</v>
      </c>
      <c r="F7">
        <v>4</v>
      </c>
      <c r="G7">
        <v>8000</v>
      </c>
      <c r="H7">
        <v>2400</v>
      </c>
      <c r="I7">
        <f t="shared" si="0"/>
        <v>30</v>
      </c>
    </row>
    <row r="8" spans="1:9" x14ac:dyDescent="0.25">
      <c r="A8">
        <v>1007</v>
      </c>
      <c r="B8" s="2">
        <v>46042</v>
      </c>
      <c r="C8" t="s">
        <v>13</v>
      </c>
      <c r="D8" t="s">
        <v>14</v>
      </c>
      <c r="E8" t="s">
        <v>18</v>
      </c>
      <c r="F8">
        <v>2</v>
      </c>
      <c r="G8">
        <v>20000</v>
      </c>
      <c r="H8">
        <v>3500</v>
      </c>
      <c r="I8">
        <f t="shared" si="0"/>
        <v>17.5</v>
      </c>
    </row>
    <row r="9" spans="1:9" x14ac:dyDescent="0.25">
      <c r="A9">
        <v>1008</v>
      </c>
      <c r="B9" s="2">
        <v>46047</v>
      </c>
      <c r="C9" t="s">
        <v>9</v>
      </c>
      <c r="D9" t="s">
        <v>15</v>
      </c>
      <c r="E9" t="s">
        <v>17</v>
      </c>
      <c r="F9">
        <v>10</v>
      </c>
      <c r="G9">
        <v>10000</v>
      </c>
      <c r="H9">
        <v>3000</v>
      </c>
      <c r="I9">
        <f t="shared" si="0"/>
        <v>30</v>
      </c>
    </row>
    <row r="10" spans="1:9" x14ac:dyDescent="0.25">
      <c r="A10">
        <v>1009</v>
      </c>
      <c r="B10" s="2">
        <v>46055</v>
      </c>
      <c r="C10" t="s">
        <v>8</v>
      </c>
      <c r="D10" t="s">
        <v>14</v>
      </c>
      <c r="E10" t="s">
        <v>16</v>
      </c>
      <c r="F10">
        <v>1</v>
      </c>
      <c r="G10">
        <v>45000</v>
      </c>
      <c r="H10">
        <v>6000</v>
      </c>
      <c r="I10">
        <f t="shared" si="0"/>
        <v>13.333333333333334</v>
      </c>
    </row>
    <row r="11" spans="1:9" x14ac:dyDescent="0.25">
      <c r="A11">
        <v>1010</v>
      </c>
      <c r="B11" s="2">
        <v>46058</v>
      </c>
      <c r="C11" t="s">
        <v>10</v>
      </c>
      <c r="D11" t="s">
        <v>15</v>
      </c>
      <c r="E11" t="s">
        <v>18</v>
      </c>
      <c r="F11">
        <v>6</v>
      </c>
      <c r="G11">
        <v>9000</v>
      </c>
      <c r="H11">
        <v>2400</v>
      </c>
      <c r="I11">
        <f t="shared" si="0"/>
        <v>26.666666666666668</v>
      </c>
    </row>
    <row r="12" spans="1:9" x14ac:dyDescent="0.25">
      <c r="A12">
        <v>1011</v>
      </c>
      <c r="B12" s="2">
        <v>46063</v>
      </c>
      <c r="C12" t="s">
        <v>11</v>
      </c>
      <c r="D12" t="s">
        <v>14</v>
      </c>
      <c r="E12" t="s">
        <v>17</v>
      </c>
      <c r="F12">
        <v>3</v>
      </c>
      <c r="G12">
        <v>45000</v>
      </c>
      <c r="H12">
        <v>7500</v>
      </c>
      <c r="I12">
        <f t="shared" si="0"/>
        <v>16.666666666666664</v>
      </c>
    </row>
    <row r="13" spans="1:9" x14ac:dyDescent="0.25">
      <c r="A13">
        <v>1012</v>
      </c>
      <c r="B13" s="2">
        <v>46068</v>
      </c>
      <c r="C13" t="s">
        <v>12</v>
      </c>
      <c r="D13" t="s">
        <v>15</v>
      </c>
      <c r="E13" t="s">
        <v>16</v>
      </c>
      <c r="F13">
        <v>5</v>
      </c>
      <c r="G13">
        <v>10000</v>
      </c>
      <c r="H13">
        <v>3000</v>
      </c>
      <c r="I13">
        <f t="shared" si="0"/>
        <v>30</v>
      </c>
    </row>
    <row r="14" spans="1:9" x14ac:dyDescent="0.25">
      <c r="A14">
        <v>1013</v>
      </c>
      <c r="B14" s="2">
        <v>46073</v>
      </c>
      <c r="C14" t="s">
        <v>13</v>
      </c>
      <c r="D14" t="s">
        <v>14</v>
      </c>
      <c r="E14" t="s">
        <v>18</v>
      </c>
      <c r="F14">
        <v>1</v>
      </c>
      <c r="G14">
        <v>10000</v>
      </c>
      <c r="H14">
        <v>1800</v>
      </c>
      <c r="I14">
        <f t="shared" si="0"/>
        <v>18</v>
      </c>
    </row>
    <row r="15" spans="1:9" x14ac:dyDescent="0.25">
      <c r="A15">
        <v>1014</v>
      </c>
      <c r="B15" s="2">
        <v>46078</v>
      </c>
      <c r="C15" t="s">
        <v>9</v>
      </c>
      <c r="D15" t="s">
        <v>15</v>
      </c>
      <c r="E15" t="s">
        <v>16</v>
      </c>
      <c r="F15">
        <v>8</v>
      </c>
      <c r="G15">
        <v>8000</v>
      </c>
      <c r="H15">
        <v>2400</v>
      </c>
      <c r="I15">
        <f t="shared" si="0"/>
        <v>30</v>
      </c>
    </row>
    <row r="16" spans="1:9" x14ac:dyDescent="0.25">
      <c r="A16">
        <v>1015</v>
      </c>
      <c r="B16" s="2">
        <v>46084</v>
      </c>
      <c r="C16" t="s">
        <v>8</v>
      </c>
      <c r="D16" t="s">
        <v>14</v>
      </c>
      <c r="E16" t="s">
        <v>17</v>
      </c>
      <c r="F16">
        <v>2</v>
      </c>
      <c r="G16">
        <v>90000</v>
      </c>
      <c r="H16">
        <v>12000</v>
      </c>
      <c r="I16">
        <f t="shared" si="0"/>
        <v>13.333333333333334</v>
      </c>
    </row>
    <row r="17" spans="1:10" x14ac:dyDescent="0.25">
      <c r="A17">
        <v>1016</v>
      </c>
      <c r="B17" s="2">
        <v>46089</v>
      </c>
      <c r="C17" t="s">
        <v>10</v>
      </c>
      <c r="D17" t="s">
        <v>15</v>
      </c>
      <c r="E17" t="s">
        <v>16</v>
      </c>
      <c r="F17">
        <v>4</v>
      </c>
      <c r="G17">
        <v>6000</v>
      </c>
      <c r="H17">
        <v>1600</v>
      </c>
      <c r="I17">
        <f t="shared" si="0"/>
        <v>26.666666666666668</v>
      </c>
    </row>
    <row r="18" spans="1:10" x14ac:dyDescent="0.25">
      <c r="A18">
        <v>1017</v>
      </c>
      <c r="B18" s="2">
        <v>46093</v>
      </c>
      <c r="C18" t="s">
        <v>11</v>
      </c>
      <c r="D18" t="s">
        <v>14</v>
      </c>
      <c r="E18" t="s">
        <v>18</v>
      </c>
      <c r="F18">
        <v>2</v>
      </c>
      <c r="G18">
        <v>30000</v>
      </c>
      <c r="H18">
        <v>5000</v>
      </c>
      <c r="I18">
        <f t="shared" si="0"/>
        <v>16.666666666666664</v>
      </c>
    </row>
    <row r="19" spans="1:10" x14ac:dyDescent="0.25">
      <c r="A19">
        <v>1018</v>
      </c>
      <c r="B19" s="2">
        <v>46099</v>
      </c>
      <c r="C19" t="s">
        <v>12</v>
      </c>
      <c r="D19" t="s">
        <v>15</v>
      </c>
      <c r="E19" t="s">
        <v>17</v>
      </c>
      <c r="F19">
        <v>6</v>
      </c>
      <c r="G19">
        <v>12000</v>
      </c>
      <c r="H19">
        <v>3600</v>
      </c>
      <c r="I19">
        <f t="shared" si="0"/>
        <v>30</v>
      </c>
    </row>
    <row r="20" spans="1:10" x14ac:dyDescent="0.25">
      <c r="A20">
        <v>1019</v>
      </c>
      <c r="B20" s="2">
        <v>46103</v>
      </c>
      <c r="C20" t="s">
        <v>13</v>
      </c>
      <c r="D20" t="s">
        <v>14</v>
      </c>
      <c r="E20" t="s">
        <v>16</v>
      </c>
      <c r="F20">
        <v>2</v>
      </c>
      <c r="G20">
        <v>20000</v>
      </c>
      <c r="H20">
        <v>3500</v>
      </c>
      <c r="I20">
        <f t="shared" si="0"/>
        <v>17.5</v>
      </c>
    </row>
    <row r="21" spans="1:10" x14ac:dyDescent="0.25">
      <c r="A21">
        <v>1020</v>
      </c>
      <c r="B21" s="2">
        <v>46109</v>
      </c>
      <c r="C21" t="s">
        <v>9</v>
      </c>
      <c r="D21" t="s">
        <v>15</v>
      </c>
      <c r="E21" t="s">
        <v>18</v>
      </c>
      <c r="F21">
        <v>7</v>
      </c>
      <c r="G21">
        <v>7000</v>
      </c>
      <c r="H21">
        <v>2100</v>
      </c>
      <c r="I21">
        <f t="shared" si="0"/>
        <v>30</v>
      </c>
    </row>
    <row r="23" spans="1:10" x14ac:dyDescent="0.25">
      <c r="A23" s="1"/>
      <c r="F23" s="1"/>
      <c r="G23" s="1"/>
      <c r="H23" s="1"/>
      <c r="J23" s="1"/>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D3" sqref="D3"/>
    </sheetView>
  </sheetViews>
  <sheetFormatPr defaultRowHeight="15" x14ac:dyDescent="0.25"/>
  <cols>
    <col min="1" max="1" width="10.42578125" bestFit="1" customWidth="1"/>
    <col min="2" max="2" width="10.85546875" bestFit="1" customWidth="1"/>
    <col min="3" max="3" width="13.7109375" bestFit="1" customWidth="1"/>
    <col min="4" max="4" width="11.85546875" bestFit="1" customWidth="1"/>
    <col min="5" max="5" width="12.140625" bestFit="1" customWidth="1"/>
    <col min="6" max="6" width="19" bestFit="1" customWidth="1"/>
    <col min="7" max="7" width="13.140625" bestFit="1" customWidth="1"/>
    <col min="8" max="8" width="5.140625" customWidth="1"/>
    <col min="9" max="9" width="13.5703125" customWidth="1"/>
    <col min="10" max="10" width="13.7109375" customWidth="1"/>
    <col min="11" max="11" width="12.140625" bestFit="1" customWidth="1"/>
    <col min="12" max="12" width="13.140625" bestFit="1" customWidth="1"/>
    <col min="13" max="13" width="7.140625" customWidth="1"/>
    <col min="14" max="14" width="13.5703125" customWidth="1"/>
    <col min="15" max="15" width="12.85546875" customWidth="1"/>
  </cols>
  <sheetData>
    <row r="1" spans="1:10" x14ac:dyDescent="0.25">
      <c r="A1" s="4" t="s">
        <v>19</v>
      </c>
      <c r="B1" s="4" t="s">
        <v>20</v>
      </c>
      <c r="C1" s="1" t="s">
        <v>23</v>
      </c>
      <c r="D1" s="1" t="s">
        <v>27</v>
      </c>
      <c r="F1" s="8" t="s">
        <v>24</v>
      </c>
      <c r="G1" s="8"/>
      <c r="H1" s="3"/>
      <c r="J1" s="3"/>
    </row>
    <row r="2" spans="1:10" x14ac:dyDescent="0.25">
      <c r="A2">
        <f>SUM(Table2[Sales])</f>
        <v>504500</v>
      </c>
      <c r="B2">
        <f>SUM(Table2[Profit])</f>
        <v>85500</v>
      </c>
      <c r="C2">
        <f>SUM('Sales Data'!F2:F20)</f>
        <v>69</v>
      </c>
      <c r="D2">
        <f>COUNT(Table2[Order ID])</f>
        <v>20</v>
      </c>
      <c r="F2" s="1" t="s">
        <v>3</v>
      </c>
      <c r="G2" s="1" t="s">
        <v>19</v>
      </c>
    </row>
    <row r="3" spans="1:10" x14ac:dyDescent="0.25">
      <c r="F3" t="s">
        <v>14</v>
      </c>
      <c r="G3">
        <f>SUMIF(Table2[Category],"Electronics",Table2[Sales])</f>
        <v>425000</v>
      </c>
    </row>
    <row r="4" spans="1:10" x14ac:dyDescent="0.25">
      <c r="F4" t="s">
        <v>15</v>
      </c>
      <c r="G4">
        <f>SUMIF(Table2[Category],"Accessories",Table2[Sales])</f>
        <v>79500</v>
      </c>
    </row>
    <row r="5" spans="1:10" x14ac:dyDescent="0.25">
      <c r="A5" s="8" t="s">
        <v>25</v>
      </c>
      <c r="B5" s="8"/>
    </row>
    <row r="6" spans="1:10" x14ac:dyDescent="0.25">
      <c r="A6" s="1" t="s">
        <v>4</v>
      </c>
      <c r="B6" s="1" t="s">
        <v>19</v>
      </c>
      <c r="F6" s="8" t="s">
        <v>26</v>
      </c>
      <c r="G6" s="8"/>
    </row>
    <row r="7" spans="1:10" x14ac:dyDescent="0.25">
      <c r="A7" t="s">
        <v>16</v>
      </c>
      <c r="B7">
        <f>SUMIF(Table2[City],"Pune",Table2[Sales])</f>
        <v>191500</v>
      </c>
      <c r="F7" s="1" t="s">
        <v>2</v>
      </c>
      <c r="G7" s="1" t="s">
        <v>22</v>
      </c>
    </row>
    <row r="8" spans="1:10" x14ac:dyDescent="0.25">
      <c r="A8" t="s">
        <v>17</v>
      </c>
      <c r="B8">
        <f>SUMIF(Table2[City],"Mumbai",Table2[Sales])</f>
        <v>207000</v>
      </c>
      <c r="F8" t="s">
        <v>8</v>
      </c>
      <c r="G8">
        <f>SUMIF(Table2[Product],"Laptop",Table2[Quantity])</f>
        <v>6</v>
      </c>
    </row>
    <row r="9" spans="1:10" x14ac:dyDescent="0.25">
      <c r="A9" t="s">
        <v>18</v>
      </c>
      <c r="B9">
        <f>SUMIF(Table2[City],"Delhi",Table2[Sales])</f>
        <v>106000</v>
      </c>
      <c r="F9" t="s">
        <v>9</v>
      </c>
      <c r="G9">
        <f>SUMIF(Table2[Product],"Mouse",Table2[Quantity])</f>
        <v>30</v>
      </c>
    </row>
    <row r="10" spans="1:10" x14ac:dyDescent="0.25">
      <c r="F10" t="s">
        <v>10</v>
      </c>
      <c r="G10">
        <f>SUMIF(Table2[Product],"Keyboard",Table2[Quantity])</f>
        <v>13</v>
      </c>
    </row>
    <row r="11" spans="1:10" x14ac:dyDescent="0.25">
      <c r="F11" t="s">
        <v>11</v>
      </c>
      <c r="G11">
        <f>SUMIF(Table2[Product],"Monitor",Table2[Quantity])</f>
        <v>7</v>
      </c>
    </row>
    <row r="12" spans="1:10" x14ac:dyDescent="0.25">
      <c r="F12" t="s">
        <v>12</v>
      </c>
      <c r="G12">
        <f>SUMIF(Table2[Product],"Headphones",Table2[Quantity])</f>
        <v>15</v>
      </c>
    </row>
    <row r="13" spans="1:10" x14ac:dyDescent="0.25">
      <c r="F13" t="s">
        <v>13</v>
      </c>
      <c r="G13">
        <f>SUMIF(Table2[Product],"Printer",Table2[Quantity])</f>
        <v>5</v>
      </c>
    </row>
  </sheetData>
  <mergeCells count="3">
    <mergeCell ref="A5:B5"/>
    <mergeCell ref="F1:G1"/>
    <mergeCell ref="F6:G6"/>
  </mergeCells>
  <pageMargins left="0.7" right="0.7" top="0.75" bottom="0.75" header="0.3" footer="0.3"/>
  <ignoredErrors>
    <ignoredError sqref="C2"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1:A3"/>
    </sheetView>
  </sheetViews>
  <sheetFormatPr defaultRowHeight="15" x14ac:dyDescent="0.25"/>
  <cols>
    <col min="1" max="1" width="13.140625" bestFit="1" customWidth="1"/>
    <col min="2" max="2" width="12.140625" bestFit="1" customWidth="1"/>
  </cols>
  <sheetData>
    <row r="3" spans="1:2" x14ac:dyDescent="0.25">
      <c r="A3" s="5" t="s">
        <v>28</v>
      </c>
      <c r="B3" t="s">
        <v>30</v>
      </c>
    </row>
    <row r="4" spans="1:2" x14ac:dyDescent="0.25">
      <c r="A4" s="6" t="s">
        <v>18</v>
      </c>
      <c r="B4" s="7">
        <v>106000</v>
      </c>
    </row>
    <row r="5" spans="1:2" x14ac:dyDescent="0.25">
      <c r="A5" s="6" t="s">
        <v>17</v>
      </c>
      <c r="B5" s="7">
        <v>207000</v>
      </c>
    </row>
    <row r="6" spans="1:2" x14ac:dyDescent="0.25">
      <c r="A6" s="6" t="s">
        <v>16</v>
      </c>
      <c r="B6" s="7">
        <v>191500</v>
      </c>
    </row>
    <row r="7" spans="1:2" x14ac:dyDescent="0.25">
      <c r="A7" s="6" t="s">
        <v>29</v>
      </c>
      <c r="B7" s="7">
        <v>504500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5" t="s">
        <v>28</v>
      </c>
      <c r="B3" t="s">
        <v>30</v>
      </c>
    </row>
    <row r="4" spans="1:2" x14ac:dyDescent="0.25">
      <c r="A4" s="6" t="s">
        <v>15</v>
      </c>
      <c r="B4" s="7">
        <v>79500</v>
      </c>
    </row>
    <row r="5" spans="1:2" x14ac:dyDescent="0.25">
      <c r="A5" s="6" t="s">
        <v>14</v>
      </c>
      <c r="B5" s="7">
        <v>425000</v>
      </c>
    </row>
    <row r="6" spans="1:2" x14ac:dyDescent="0.25">
      <c r="A6" s="6" t="s">
        <v>29</v>
      </c>
      <c r="B6" s="7">
        <v>504500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abSelected="1" workbookViewId="0">
      <selection activeCell="A20" sqref="A20"/>
    </sheetView>
  </sheetViews>
  <sheetFormatPr defaultRowHeight="15" x14ac:dyDescent="0.25"/>
  <cols>
    <col min="1" max="1" width="13.140625" bestFit="1" customWidth="1"/>
    <col min="2" max="2" width="12.140625" bestFit="1" customWidth="1"/>
  </cols>
  <sheetData>
    <row r="3" spans="1:2" x14ac:dyDescent="0.25">
      <c r="A3" s="5" t="s">
        <v>28</v>
      </c>
      <c r="B3" t="s">
        <v>30</v>
      </c>
    </row>
    <row r="4" spans="1:2" x14ac:dyDescent="0.25">
      <c r="A4" s="6" t="s">
        <v>12</v>
      </c>
      <c r="B4" s="7">
        <v>30000</v>
      </c>
    </row>
    <row r="5" spans="1:2" x14ac:dyDescent="0.25">
      <c r="A5" s="6" t="s">
        <v>10</v>
      </c>
      <c r="B5" s="7">
        <v>19500</v>
      </c>
    </row>
    <row r="6" spans="1:2" x14ac:dyDescent="0.25">
      <c r="A6" s="6" t="s">
        <v>8</v>
      </c>
      <c r="B6" s="7">
        <v>270000</v>
      </c>
    </row>
    <row r="7" spans="1:2" x14ac:dyDescent="0.25">
      <c r="A7" s="6" t="s">
        <v>11</v>
      </c>
      <c r="B7" s="7">
        <v>105000</v>
      </c>
    </row>
    <row r="8" spans="1:2" x14ac:dyDescent="0.25">
      <c r="A8" s="6" t="s">
        <v>9</v>
      </c>
      <c r="B8" s="7">
        <v>30000</v>
      </c>
    </row>
    <row r="9" spans="1:2" x14ac:dyDescent="0.25">
      <c r="A9" s="6" t="s">
        <v>13</v>
      </c>
      <c r="B9" s="7">
        <v>50000</v>
      </c>
    </row>
    <row r="10" spans="1:2" x14ac:dyDescent="0.25">
      <c r="A10" s="6" t="s">
        <v>29</v>
      </c>
      <c r="B10" s="7">
        <v>504500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Views>
    <sheetView zoomScale="70" zoomScaleNormal="70" workbookViewId="0">
      <selection sqref="A1:M1"/>
    </sheetView>
  </sheetViews>
  <sheetFormatPr defaultRowHeight="15" x14ac:dyDescent="0.25"/>
  <cols>
    <col min="1" max="1" width="15.140625" bestFit="1" customWidth="1"/>
    <col min="3" max="3" width="15.7109375" bestFit="1" customWidth="1"/>
    <col min="5" max="5" width="17.140625" bestFit="1" customWidth="1"/>
    <col min="7" max="7" width="20" bestFit="1" customWidth="1"/>
    <col min="9" max="9" width="28.7109375" bestFit="1" customWidth="1"/>
  </cols>
  <sheetData>
    <row r="1" spans="1:13" ht="46.5" x14ac:dyDescent="0.7">
      <c r="A1" s="9" t="s">
        <v>32</v>
      </c>
      <c r="B1" s="9"/>
      <c r="C1" s="9"/>
      <c r="D1" s="9"/>
      <c r="E1" s="9"/>
      <c r="F1" s="9"/>
      <c r="G1" s="9"/>
      <c r="H1" s="9"/>
      <c r="I1" s="9"/>
      <c r="J1" s="9"/>
      <c r="K1" s="9"/>
      <c r="L1" s="9"/>
      <c r="M1" s="9"/>
    </row>
    <row r="3" spans="1:13" ht="21" x14ac:dyDescent="0.35">
      <c r="A3" s="11" t="s">
        <v>19</v>
      </c>
      <c r="C3" s="11" t="s">
        <v>20</v>
      </c>
      <c r="E3" s="11" t="s">
        <v>27</v>
      </c>
      <c r="G3" s="11" t="s">
        <v>23</v>
      </c>
      <c r="I3" s="11" t="s">
        <v>31</v>
      </c>
    </row>
    <row r="4" spans="1:13" ht="18.75" x14ac:dyDescent="0.3">
      <c r="A4" s="10">
        <f>SUM(Table2[Sales])</f>
        <v>504500</v>
      </c>
      <c r="C4" s="10">
        <f>SUM(Table2[Profit])</f>
        <v>85500</v>
      </c>
      <c r="E4" s="10">
        <f>COUNT(Table2[Order ID])</f>
        <v>20</v>
      </c>
      <c r="G4" s="10">
        <f>SUM(Table2[Quantity])</f>
        <v>76</v>
      </c>
      <c r="I4" s="10">
        <f>SUMIF(Table2[Product],"Laptop",Table2[Sales])</f>
        <v>270000</v>
      </c>
    </row>
  </sheetData>
  <mergeCells count="1">
    <mergeCell ref="A1:M1"/>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Analysis</vt:lpstr>
      <vt:lpstr>City</vt:lpstr>
      <vt:lpstr>Category</vt:lpstr>
      <vt:lpstr>Product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2026-09-03T15:39:43Z</dcterms:created>
  <dcterms:modified xsi:type="dcterms:W3CDTF">2026-09-05T15:14:25Z</dcterms:modified>
</cp:coreProperties>
</file>